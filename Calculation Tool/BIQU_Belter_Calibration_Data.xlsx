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360极速浏览器X下载\"/>
    </mc:Choice>
  </mc:AlternateContent>
  <bookViews>
    <workbookView windowWidth="28800" windowHeight="14055"/>
  </bookViews>
  <sheets>
    <sheet name="Belter Data" sheetId="1" r:id="rId1"/>
  </sheets>
  <definedNames>
    <definedName name="_xlnm._FilterDatabase" localSheetId="0" hidden="1">'Belter Data'!$A$4:$Q$16</definedName>
    <definedName name="_xlnm.Print_Titles" localSheetId="0">'Belter Data'!$1:$4</definedName>
    <definedName name="_xlnm.Print_Area" localSheetId="0">'Belter Data'!$A$1:$Q$19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<sst xmlns="http://schemas.openxmlformats.org/spreadsheetml/2006/main" count="33" uniqueCount="33">
  <si>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BIQU Belter Measurement Data</t>
  </si>
  <si>
    <t>Enter 12 readings for each load. Average and StDev automatically exclude one highest and one lowest reading, using the remaining 10 values.</t>
  </si>
  <si>
    <t>Measurement / Load</t>
  </si>
  <si>
    <t>500 g</t>
  </si>
  <si>
    <t>600 g</t>
  </si>
  <si>
    <t>700 g</t>
  </si>
  <si>
    <t>800 g</t>
  </si>
  <si>
    <t>900 g</t>
  </si>
  <si>
    <t>1000 g</t>
  </si>
  <si>
    <t>1100 g</t>
  </si>
  <si>
    <t>1200 g</t>
  </si>
  <si>
    <t>1300 g</t>
  </si>
  <si>
    <t>1400 g</t>
  </si>
  <si>
    <t>1500 g</t>
  </si>
  <si>
    <t>1600 g</t>
  </si>
  <si>
    <t>1700 g</t>
  </si>
  <si>
    <t>1800 g</t>
  </si>
  <si>
    <t>1900 g</t>
  </si>
  <si>
    <t>2000 g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</si>
  <si>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</si>
  <si>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</si>
  <si>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</si>
  <si>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</si>
  <si>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</si>
  <si>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</si>
  <si>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</si>
  <si>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</si>
  <si>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</si>
  <si>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</si>
  <si>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</si>
  <si>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</si>
  <si>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Average (trimmed 10)</t>
  </si>
  <si>
    <t>StDev (trimmed 10)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</si>
</sst>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31">
    <font>
      <sz val="11"/>
      <color theme="1"/>
      <name val="宋体"/>
      <charset val="134"/>
      <scheme val="minor"/>
    </font>
    <font>
      <b/>
      <sz val="20"/>
      <color rgb="FFF4F7FB"/>
      <name val="Aptos Display"/>
      <charset val="134"/>
    </font>
    <font>
      <sz val="10"/>
      <color rgb="FFF4F7FB"/>
      <name val="Aptos"/>
      <charset val="134"/>
    </font>
    <font>
      <sz val="10"/>
      <color rgb="FF9AA4B2"/>
      <name val="Aptos"/>
      <charset val="134"/>
    </font>
    <font>
      <b/>
      <sz val="10"/>
      <color rgb="FFF4F7FB"/>
      <name val="Aptos"/>
      <charset val="134"/>
    </font>
    <font>
      <sz val="10"/>
      <color rgb="FFC8D0DB"/>
      <name val="Aptos"/>
      <charset val="134"/>
    </font>
    <font>
      <sz val="10"/>
      <color rgb="FF71B7FF"/>
      <name val="Aptos"/>
      <charset val="134"/>
    </font>
    <font>
      <b/>
      <sz val="10"/>
      <color rgb="FFD7D3FF"/>
      <name val="Aptos"/>
      <charset val="134"/>
    </font>
    <font>
      <b/>
      <sz val="10"/>
      <color rgb="FFBDB7FF"/>
      <name val="Aptos"/>
      <charset val="134"/>
    </font>
    <font>
      <b/>
      <sz val="10"/>
      <color rgb="FFBFF7F0"/>
      <name val="Aptos"/>
      <charset val="134"/>
    </font>
    <font>
      <b/>
      <sz val="10"/>
      <color rgb="FF52D1C8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090B0F"/>
        <bgColor indexed="64"/>
      </patternFill>
    </fill>
    <fill>
      <patternFill patternType="solid">
        <fgColor rgb="FF11151B"/>
        <bgColor indexed="64"/>
      </patternFill>
    </fill>
    <fill>
      <patternFill patternType="solid">
        <fgColor rgb="FF1A2029"/>
        <bgColor indexed="64"/>
      </patternFill>
    </fill>
    <fill>
      <patternFill patternType="solid">
        <fgColor rgb="FF17143E"/>
        <bgColor indexed="64"/>
      </patternFill>
    </fill>
    <fill>
      <patternFill patternType="solid">
        <fgColor rgb="FF1A1649"/>
        <bgColor indexed="64"/>
      </patternFill>
    </fill>
    <fill>
      <patternFill patternType="solid">
        <fgColor rgb="FF1D1854"/>
        <bgColor indexed="64"/>
      </patternFill>
    </fill>
    <fill>
      <patternFill patternType="solid">
        <fgColor rgb="FF201A60"/>
        <bgColor indexed="64"/>
      </patternFill>
    </fill>
    <fill>
      <patternFill patternType="solid">
        <fgColor rgb="FF231C6B"/>
        <bgColor indexed="64"/>
      </patternFill>
    </fill>
    <fill>
      <patternFill patternType="solid">
        <fgColor rgb="FF261E76"/>
        <bgColor indexed="64"/>
      </patternFill>
    </fill>
    <fill>
      <patternFill patternType="solid">
        <fgColor rgb="FF292081"/>
        <bgColor indexed="64"/>
      </patternFill>
    </fill>
    <fill>
      <patternFill patternType="solid">
        <fgColor rgb="FF2C228C"/>
        <bgColor indexed="64"/>
      </patternFill>
    </fill>
    <fill>
      <patternFill patternType="solid">
        <fgColor rgb="FF2F2497"/>
        <bgColor indexed="64"/>
      </patternFill>
    </fill>
    <fill>
      <patternFill patternType="solid">
        <fgColor rgb="FF3226A2"/>
        <bgColor indexed="64"/>
      </patternFill>
    </fill>
    <fill>
      <patternFill patternType="solid">
        <fgColor rgb="FF3528AD"/>
        <bgColor indexed="64"/>
      </patternFill>
    </fill>
    <fill>
      <patternFill patternType="solid">
        <fgColor rgb="FF382AB8"/>
        <bgColor indexed="64"/>
      </patternFill>
    </fill>
    <fill>
      <patternFill patternType="solid">
        <fgColor rgb="FF3B2CC3"/>
        <bgColor indexed="64"/>
      </patternFill>
    </fill>
    <fill>
      <patternFill patternType="solid">
        <fgColor rgb="FF3E2ECD"/>
        <bgColor indexed="64"/>
      </patternFill>
    </fill>
    <fill>
      <patternFill patternType="solid">
        <fgColor rgb="FF4130D8"/>
        <bgColor indexed="64"/>
      </patternFill>
    </fill>
    <fill>
      <patternFill patternType="solid">
        <fgColor rgb="FF4432E3"/>
        <bgColor indexed="64"/>
      </patternFill>
    </fill>
    <fill>
      <patternFill patternType="solid">
        <fgColor rgb="FF151A22"/>
        <bgColor indexed="64"/>
      </patternFill>
    </fill>
    <fill>
      <patternFill patternType="solid">
        <fgColor rgb="FF0C1016"/>
        <bgColor indexed="64"/>
      </patternFill>
    </fill>
    <fill>
      <patternFill patternType="solid">
        <fgColor rgb="FF0F141B"/>
        <bgColor indexed="64"/>
      </patternFill>
    </fill>
    <fill>
      <patternFill patternType="solid">
        <fgColor rgb="FF17163A"/>
        <bgColor indexed="64"/>
      </patternFill>
    </fill>
    <fill>
      <patternFill patternType="solid">
        <fgColor rgb="FF14132E"/>
        <bgColor indexed="64"/>
      </patternFill>
    </fill>
    <fill>
      <patternFill patternType="solid">
        <fgColor rgb="FF10262A"/>
        <bgColor indexed="64"/>
      </patternFill>
    </fill>
    <fill>
      <patternFill patternType="solid">
        <fgColor rgb="FF0D20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716AFF"/>
      </bottom>
      <diagonal/>
    </border>
    <border>
      <left/>
      <right/>
      <top/>
      <bottom style="thin">
        <color rgb="FF262D38"/>
      </bottom>
      <diagonal/>
    </border>
    <border>
      <left style="thin">
        <color rgb="FF343D4A"/>
      </left>
      <right style="thin">
        <color rgb="FF343D4A"/>
      </right>
      <top style="thin">
        <color rgb="FF343D4A"/>
      </top>
      <bottom style="thin">
        <color rgb="FF343D4A"/>
      </bottom>
      <diagonal/>
    </border>
    <border>
      <left style="thin">
        <color rgb="FF343D4A"/>
      </left>
      <right style="thin">
        <color rgb="FF343D4A"/>
      </right>
      <top style="thin">
        <color rgb="FF716AFF"/>
      </top>
      <bottom style="thin">
        <color rgb="FF716AFF"/>
      </bottom>
      <diagonal/>
    </border>
    <border>
      <left/>
      <right style="thin">
        <color rgb="FF343D4A"/>
      </right>
      <top/>
      <bottom style="hair">
        <color rgb="FF262D38"/>
      </bottom>
      <diagonal/>
    </border>
    <border>
      <left style="hair">
        <color rgb="FF262D38"/>
      </left>
      <right style="hair">
        <color rgb="FF262D38"/>
      </right>
      <top/>
      <bottom style="hair">
        <color rgb="FF262D38"/>
      </bottom>
      <diagonal/>
    </border>
    <border>
      <left/>
      <right/>
      <top style="thin">
        <color rgb="FF343D4A"/>
      </top>
      <bottom/>
      <diagonal/>
    </border>
    <border>
      <left/>
      <right style="thin">
        <color rgb="FF343D4A"/>
      </right>
      <top style="medium">
        <color rgb="FF716AFF"/>
      </top>
      <bottom style="thin">
        <color rgb="FF343D4A"/>
      </bottom>
      <diagonal/>
    </border>
    <border>
      <left style="hair">
        <color rgb="FF262D38"/>
      </left>
      <right style="hair">
        <color rgb="FF262D38"/>
      </right>
      <top style="medium">
        <color rgb="FF716AFF"/>
      </top>
      <bottom style="thin">
        <color rgb="FF343D4A"/>
      </bottom>
      <diagonal/>
    </border>
    <border>
      <left/>
      <right style="thin">
        <color rgb="FF343D4A"/>
      </right>
      <top/>
      <bottom style="medium">
        <color rgb="FF59D5E0"/>
      </bottom>
      <diagonal/>
    </border>
    <border>
      <left style="hair">
        <color rgb="FF262D38"/>
      </left>
      <right style="hair">
        <color rgb="FF262D38"/>
      </right>
      <top/>
      <bottom style="medium">
        <color rgb="FF59D5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8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9" borderId="15" applyNumberFormat="0" applyAlignment="0" applyProtection="0">
      <alignment vertical="center"/>
    </xf>
    <xf numFmtId="0" fontId="21" fillId="30" borderId="16" applyNumberFormat="0" applyAlignment="0" applyProtection="0">
      <alignment vertical="center"/>
    </xf>
    <xf numFmtId="0" fontId="22" fillId="30" borderId="15" applyNumberFormat="0" applyAlignment="0" applyProtection="0">
      <alignment vertical="center"/>
    </xf>
    <xf numFmtId="0" fontId="23" fillId="31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29" fillId="5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left" vertical="center"/>
    </xf>
    <xf numFmtId="176" fontId="6" fillId="22" borderId="6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176" fontId="6" fillId="23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7" fillId="24" borderId="8" xfId="0" applyFont="1" applyFill="1" applyBorder="1" applyAlignment="1">
      <alignment horizontal="left" vertical="center"/>
    </xf>
    <xf numFmtId="176" fontId="8" fillId="25" borderId="9" xfId="0" applyNumberFormat="1" applyFont="1" applyFill="1" applyBorder="1" applyAlignment="1">
      <alignment horizontal="center" vertical="center"/>
    </xf>
    <xf numFmtId="0" fontId="9" fillId="26" borderId="10" xfId="0" applyFont="1" applyFill="1" applyBorder="1" applyAlignment="1">
      <alignment horizontal="left" vertical="center"/>
    </xf>
    <xf numFmtId="176" fontId="10" fillId="27" borderId="1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0069F"/>
    <pageSetUpPr fitToPage="1"/>
  </sheetPr>
  <dimension ref="A1:Q19"/>
  <sheetViews>
    <sheetView showGridLines="0" tabSelected="1" zoomScale="95" zoomScaleNormal="95" workbookViewId="0">
      <pane xSplit="1" ySplit="4" topLeftCell="B5" activePane="bottomRight" state="frozen"/>
      <selection/>
      <selection pane="topRight"/>
      <selection pane="bottomLeft"/>
      <selection pane="bottomRight" activeCell="A1" sqref="A1:Q1"/>
    </sheetView>
  </sheetViews>
  <sheetFormatPr defaultColWidth="9" defaultRowHeight="13.5"/>
  <cols>
    <col min="1" max="1" width="22" customWidth="1"/>
    <col min="2" max="17" width="10.5" customWidth="1"/>
  </cols>
  <sheetData>
    <row r="1" ht="32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8" customHeight="1" spans="1:17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26" customHeight="1" spans="1:17">
      <c r="A4" s="6" t="s">
        <v>2</v>
      </c>
      <c r="B4" s="7" t="s">
        <v>3</v>
      </c>
      <c r="C4" s="8" t="s">
        <v>4</v>
      </c>
      <c r="D4" s="9" t="s">
        <v>5</v>
      </c>
      <c r="E4" s="10" t="s">
        <v>6</v>
      </c>
      <c r="F4" s="11" t="s">
        <v>7</v>
      </c>
      <c r="G4" s="12" t="s">
        <v>8</v>
      </c>
      <c r="H4" s="13" t="s">
        <v>9</v>
      </c>
      <c r="I4" s="14" t="s">
        <v>10</v>
      </c>
      <c r="J4" s="15" t="s">
        <v>11</v>
      </c>
      <c r="K4" s="16" t="s">
        <v>12</v>
      </c>
      <c r="L4" s="17" t="s">
        <v>13</v>
      </c>
      <c r="M4" s="18" t="s">
        <v>14</v>
      </c>
      <c r="N4" s="19" t="s">
        <v>15</v>
      </c>
      <c r="O4" s="20" t="s">
        <v>16</v>
      </c>
      <c r="P4" s="21" t="s">
        <v>17</v>
      </c>
      <c r="Q4" s="22" t="s">
        <v>18</v>
      </c>
    </row>
    <row r="5" ht="23" customHeight="1" spans="1:17">
      <c r="A5" s="23" t="s">
        <v>19</v>
      </c>
      <c r="B5" s="24">
        <v>3.82</v>
      </c>
      <c r="C5" s="24">
        <v>4.3</v>
      </c>
      <c r="D5" s="24">
        <v>4.6</v>
      </c>
      <c r="E5" s="24">
        <v>4.82</v>
      </c>
      <c r="F5" s="24">
        <v>5.12</v>
      </c>
      <c r="G5" s="24">
        <v>5.28</v>
      </c>
      <c r="H5" s="24">
        <v>5.62</v>
      </c>
      <c r="I5" s="24">
        <v>5.62</v>
      </c>
      <c r="J5" s="24">
        <v>5.82</v>
      </c>
      <c r="K5" s="24">
        <v>5.71</v>
      </c>
      <c r="L5" s="24">
        <v>6</v>
      </c>
      <c r="M5" s="24">
        <v>5.91</v>
      </c>
      <c r="N5" s="24">
        <v>6.08</v>
      </c>
      <c r="O5" s="24">
        <v>6.07</v>
      </c>
      <c r="P5" s="24">
        <v>6.16</v>
      </c>
      <c r="Q5" s="24">
        <v>6.18</v>
      </c>
    </row>
    <row r="6" ht="23" customHeight="1" spans="1:17">
      <c r="A6" s="25" t="s">
        <v>20</v>
      </c>
      <c r="B6" s="26">
        <v>4</v>
      </c>
      <c r="C6" s="26">
        <v>4.38</v>
      </c>
      <c r="D6" s="26">
        <v>4.62</v>
      </c>
      <c r="E6" s="26">
        <v>4.95</v>
      </c>
      <c r="F6" s="26">
        <v>5</v>
      </c>
      <c r="G6" s="26">
        <v>5.23</v>
      </c>
      <c r="H6" s="26">
        <v>5.41</v>
      </c>
      <c r="I6" s="26">
        <v>5.55</v>
      </c>
      <c r="J6" s="26">
        <v>5.92</v>
      </c>
      <c r="K6" s="26">
        <v>5.88</v>
      </c>
      <c r="L6" s="26">
        <v>6.03</v>
      </c>
      <c r="M6" s="26">
        <v>5.89</v>
      </c>
      <c r="N6" s="26">
        <v>6.08</v>
      </c>
      <c r="O6" s="26">
        <v>6.19</v>
      </c>
      <c r="P6" s="26">
        <v>6.15</v>
      </c>
      <c r="Q6" s="26">
        <v>6.19</v>
      </c>
    </row>
    <row r="7" ht="23" customHeight="1" spans="1:17">
      <c r="A7" s="23" t="s">
        <v>21</v>
      </c>
      <c r="B7" s="24">
        <v>4.05</v>
      </c>
      <c r="C7" s="24">
        <v>4.33</v>
      </c>
      <c r="D7" s="24">
        <v>4.7</v>
      </c>
      <c r="E7" s="24">
        <v>4.92</v>
      </c>
      <c r="F7" s="24">
        <v>5.23</v>
      </c>
      <c r="G7" s="24">
        <v>5.26</v>
      </c>
      <c r="H7" s="24">
        <v>5.39</v>
      </c>
      <c r="I7" s="24">
        <v>5.67</v>
      </c>
      <c r="J7" s="24">
        <v>5.72</v>
      </c>
      <c r="K7" s="24">
        <v>5.87</v>
      </c>
      <c r="L7" s="24">
        <v>5.81</v>
      </c>
      <c r="M7" s="24">
        <v>5.96</v>
      </c>
      <c r="N7" s="24">
        <v>6.03</v>
      </c>
      <c r="O7" s="24">
        <v>6.07</v>
      </c>
      <c r="P7" s="24">
        <v>6.14</v>
      </c>
      <c r="Q7" s="24">
        <v>6.22</v>
      </c>
    </row>
    <row r="8" ht="23" customHeight="1" spans="1:17">
      <c r="A8" s="25" t="s">
        <v>22</v>
      </c>
      <c r="B8" s="26">
        <v>3.92</v>
      </c>
      <c r="C8" s="26">
        <v>4.4</v>
      </c>
      <c r="D8" s="26">
        <v>4.81</v>
      </c>
      <c r="E8" s="26">
        <v>4.76</v>
      </c>
      <c r="F8" s="26">
        <v>5.23</v>
      </c>
      <c r="G8" s="26">
        <v>5.29</v>
      </c>
      <c r="H8" s="26">
        <v>5.5</v>
      </c>
      <c r="I8" s="26">
        <v>5.58</v>
      </c>
      <c r="J8" s="26">
        <v>5.72</v>
      </c>
      <c r="K8" s="26">
        <v>5.71</v>
      </c>
      <c r="L8" s="26">
        <v>5.89</v>
      </c>
      <c r="M8" s="26">
        <v>5.95</v>
      </c>
      <c r="N8" s="26">
        <v>6.11</v>
      </c>
      <c r="O8" s="26">
        <v>6.13</v>
      </c>
      <c r="P8" s="26">
        <v>6.16</v>
      </c>
      <c r="Q8" s="26">
        <v>6.28</v>
      </c>
    </row>
    <row r="9" ht="23" customHeight="1" spans="1:17">
      <c r="A9" s="23" t="s">
        <v>23</v>
      </c>
      <c r="B9" s="24">
        <v>4.08</v>
      </c>
      <c r="C9" s="24">
        <v>4.46</v>
      </c>
      <c r="D9" s="24">
        <v>4.78</v>
      </c>
      <c r="E9" s="24">
        <v>4.82</v>
      </c>
      <c r="F9" s="24">
        <v>5.21</v>
      </c>
      <c r="G9" s="24">
        <v>5.21</v>
      </c>
      <c r="H9" s="24">
        <v>5.53</v>
      </c>
      <c r="I9" s="24">
        <v>5.52</v>
      </c>
      <c r="J9" s="24">
        <v>5.84</v>
      </c>
      <c r="K9" s="24">
        <v>5.78</v>
      </c>
      <c r="L9" s="24">
        <v>6.01</v>
      </c>
      <c r="M9" s="24">
        <v>5.99</v>
      </c>
      <c r="N9" s="24">
        <v>6.07</v>
      </c>
      <c r="O9" s="24">
        <v>6.07</v>
      </c>
      <c r="P9" s="24">
        <v>6.19</v>
      </c>
      <c r="Q9" s="24">
        <v>6.24</v>
      </c>
    </row>
    <row r="10" ht="23" customHeight="1" spans="1:17">
      <c r="A10" s="25" t="s">
        <v>24</v>
      </c>
      <c r="B10" s="26">
        <v>3.82</v>
      </c>
      <c r="C10" s="26">
        <v>4.3</v>
      </c>
      <c r="D10" s="26">
        <v>4.64</v>
      </c>
      <c r="E10" s="26">
        <v>4.84</v>
      </c>
      <c r="F10" s="26">
        <v>5.01</v>
      </c>
      <c r="G10" s="26">
        <v>5.29</v>
      </c>
      <c r="H10" s="26">
        <v>5.51</v>
      </c>
      <c r="I10" s="26">
        <v>5.58</v>
      </c>
      <c r="J10" s="26">
        <v>5.74</v>
      </c>
      <c r="K10" s="26">
        <v>5.79</v>
      </c>
      <c r="L10" s="26">
        <v>5.921</v>
      </c>
      <c r="M10" s="26">
        <v>5.96</v>
      </c>
      <c r="N10" s="26">
        <v>6.1</v>
      </c>
      <c r="O10" s="26">
        <v>6.11</v>
      </c>
      <c r="P10" s="26">
        <v>6.18</v>
      </c>
      <c r="Q10" s="26">
        <v>6.23</v>
      </c>
    </row>
    <row r="11" ht="23" customHeight="1" spans="1:17">
      <c r="A11" s="23" t="s">
        <v>25</v>
      </c>
      <c r="B11" s="24">
        <v>4.04</v>
      </c>
      <c r="C11" s="24">
        <v>4.37</v>
      </c>
      <c r="D11" s="24">
        <v>4.66</v>
      </c>
      <c r="E11" s="24">
        <v>4.89</v>
      </c>
      <c r="F11" s="24">
        <v>5.22</v>
      </c>
      <c r="G11" s="24">
        <v>5.21</v>
      </c>
      <c r="H11" s="24">
        <v>5.44</v>
      </c>
      <c r="I11" s="24">
        <v>5.62</v>
      </c>
      <c r="J11" s="24">
        <v>5.75</v>
      </c>
      <c r="K11" s="24">
        <v>5.76</v>
      </c>
      <c r="L11" s="24">
        <v>5.91</v>
      </c>
      <c r="M11" s="24">
        <v>5.96</v>
      </c>
      <c r="N11" s="24">
        <v>6.03</v>
      </c>
      <c r="O11" s="24">
        <v>6.25</v>
      </c>
      <c r="P11" s="24">
        <v>6.22</v>
      </c>
      <c r="Q11" s="24">
        <v>6.19</v>
      </c>
    </row>
    <row r="12" ht="23" customHeight="1" spans="1:17">
      <c r="A12" s="25" t="s">
        <v>26</v>
      </c>
      <c r="B12" s="26">
        <v>3.91</v>
      </c>
      <c r="C12" s="26">
        <v>4.47</v>
      </c>
      <c r="D12" s="26">
        <v>4.78</v>
      </c>
      <c r="E12" s="26">
        <v>4.99</v>
      </c>
      <c r="F12" s="26">
        <v>5.21</v>
      </c>
      <c r="G12" s="26">
        <v>5.24</v>
      </c>
      <c r="H12" s="26">
        <v>5.42</v>
      </c>
      <c r="I12" s="26">
        <v>5.54</v>
      </c>
      <c r="J12" s="26">
        <v>5.76</v>
      </c>
      <c r="K12" s="26">
        <v>5.84</v>
      </c>
      <c r="L12" s="26">
        <v>5.93</v>
      </c>
      <c r="M12" s="26">
        <v>5.95</v>
      </c>
      <c r="N12" s="26">
        <v>6.04</v>
      </c>
      <c r="O12" s="26">
        <v>6.07</v>
      </c>
      <c r="P12" s="26">
        <v>6.17</v>
      </c>
      <c r="Q12" s="26">
        <v>6.26</v>
      </c>
    </row>
    <row r="13" ht="23" customHeight="1" spans="1:17">
      <c r="A13" s="23" t="s">
        <v>27</v>
      </c>
      <c r="B13" s="24">
        <v>3.95</v>
      </c>
      <c r="C13" s="24">
        <v>4.33</v>
      </c>
      <c r="D13" s="24">
        <v>4.69</v>
      </c>
      <c r="E13" s="24">
        <v>4.86</v>
      </c>
      <c r="F13" s="24">
        <v>5.1</v>
      </c>
      <c r="G13" s="24">
        <v>5.24</v>
      </c>
      <c r="H13" s="24">
        <v>5.35</v>
      </c>
      <c r="I13" s="24">
        <v>5.6</v>
      </c>
      <c r="J13" s="24">
        <v>5.88</v>
      </c>
      <c r="K13" s="24">
        <v>5.94</v>
      </c>
      <c r="L13" s="24">
        <v>5.99</v>
      </c>
      <c r="M13" s="24">
        <v>6.03</v>
      </c>
      <c r="N13" s="24">
        <v>6.13</v>
      </c>
      <c r="O13" s="24">
        <v>6.06</v>
      </c>
      <c r="P13" s="24">
        <v>6.14</v>
      </c>
      <c r="Q13" s="24">
        <v>6.19</v>
      </c>
    </row>
    <row r="14" ht="23" customHeight="1" spans="1:17">
      <c r="A14" s="25" t="s">
        <v>28</v>
      </c>
      <c r="B14" s="26">
        <v>3.96</v>
      </c>
      <c r="C14" s="26">
        <v>4.26</v>
      </c>
      <c r="D14" s="26">
        <v>4.8</v>
      </c>
      <c r="E14" s="26">
        <v>4.93</v>
      </c>
      <c r="F14" s="26">
        <v>5.03</v>
      </c>
      <c r="G14" s="26">
        <v>5.35</v>
      </c>
      <c r="H14" s="26">
        <v>5.44</v>
      </c>
      <c r="I14" s="26">
        <v>5.5</v>
      </c>
      <c r="J14" s="26">
        <v>5.81</v>
      </c>
      <c r="K14" s="26">
        <v>5.77</v>
      </c>
      <c r="L14" s="26">
        <v>5.94</v>
      </c>
      <c r="M14" s="26">
        <v>6.01</v>
      </c>
      <c r="N14" s="26">
        <v>6.023</v>
      </c>
      <c r="O14" s="26">
        <v>6.15</v>
      </c>
      <c r="P14" s="26">
        <v>6.16</v>
      </c>
      <c r="Q14" s="26">
        <v>6.23</v>
      </c>
    </row>
    <row r="15" ht="23" customHeight="1" spans="1:17">
      <c r="A15" s="23" t="s">
        <v>29</v>
      </c>
      <c r="B15" s="24">
        <v>3.87</v>
      </c>
      <c r="C15" s="24">
        <v>4.56</v>
      </c>
      <c r="D15" s="24">
        <v>4.71</v>
      </c>
      <c r="E15" s="24">
        <v>4.97</v>
      </c>
      <c r="F15" s="24">
        <v>5.22</v>
      </c>
      <c r="G15" s="24">
        <v>5.43</v>
      </c>
      <c r="H15" s="24">
        <v>5.4</v>
      </c>
      <c r="I15" s="24">
        <v>5.7</v>
      </c>
      <c r="J15" s="24">
        <v>5.76</v>
      </c>
      <c r="K15" s="24">
        <v>5.96</v>
      </c>
      <c r="L15" s="24">
        <v>5.95</v>
      </c>
      <c r="M15" s="24">
        <v>6.06</v>
      </c>
      <c r="N15" s="24">
        <v>6.03</v>
      </c>
      <c r="O15" s="24">
        <v>6.09</v>
      </c>
      <c r="P15" s="24">
        <v>6.13</v>
      </c>
      <c r="Q15" s="24">
        <v>6.24</v>
      </c>
    </row>
    <row r="16" ht="23" customHeight="1" spans="1:17">
      <c r="A16" s="25" t="s">
        <v>30</v>
      </c>
      <c r="B16" s="26">
        <v>3.93</v>
      </c>
      <c r="C16" s="26">
        <v>4.32</v>
      </c>
      <c r="D16" s="26">
        <v>4.69</v>
      </c>
      <c r="E16" s="26">
        <v>5.09</v>
      </c>
      <c r="F16" s="26">
        <v>5.29</v>
      </c>
      <c r="G16" s="26">
        <v>5.34</v>
      </c>
      <c r="H16" s="26">
        <v>5.5</v>
      </c>
      <c r="I16" s="26">
        <v>5.59</v>
      </c>
      <c r="J16" s="26">
        <v>5.77</v>
      </c>
      <c r="K16" s="26">
        <v>5.83</v>
      </c>
      <c r="L16" s="26">
        <v>5.88</v>
      </c>
      <c r="M16" s="26">
        <v>5.94</v>
      </c>
      <c r="N16" s="26">
        <v>6.03</v>
      </c>
      <c r="O16" s="26">
        <v>6.08</v>
      </c>
      <c r="P16" s="26">
        <v>6.24</v>
      </c>
      <c r="Q16" s="26">
        <v>6.25</v>
      </c>
    </row>
    <row r="17" ht="14.25" spans="1: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ht="24" customHeight="1" spans="1:17">
      <c r="A18" s="28" t="s">
        <v>31</v>
      </c>
      <c r="B18" s="29">
        <f t="shared" ref="B18:Q18" si="0">IF(COUNT(B5:B16)=12,(SUM(B5:B16)-MAX(B5:B16)-MIN(B5:B16))/10,"")</f>
        <v>3.945</v>
      </c>
      <c r="C18" s="29">
        <f t="shared" si="0"/>
        <v>4.366</v>
      </c>
      <c r="D18" s="29">
        <f t="shared" si="0"/>
        <v>4.707</v>
      </c>
      <c r="E18" s="29">
        <f t="shared" si="0"/>
        <v>4.899</v>
      </c>
      <c r="F18" s="29">
        <f t="shared" si="0"/>
        <v>5.158</v>
      </c>
      <c r="G18" s="29">
        <f t="shared" si="0"/>
        <v>5.273</v>
      </c>
      <c r="H18" s="29">
        <f t="shared" si="0"/>
        <v>5.454</v>
      </c>
      <c r="I18" s="29">
        <f t="shared" si="0"/>
        <v>5.587</v>
      </c>
      <c r="J18" s="29">
        <f t="shared" si="0"/>
        <v>5.785</v>
      </c>
      <c r="K18" s="29">
        <f t="shared" si="0"/>
        <v>5.817</v>
      </c>
      <c r="L18" s="29">
        <f t="shared" si="0"/>
        <v>5.9421</v>
      </c>
      <c r="M18" s="29">
        <f t="shared" si="0"/>
        <v>5.966</v>
      </c>
      <c r="N18" s="29">
        <f t="shared" si="0"/>
        <v>6.06</v>
      </c>
      <c r="O18" s="29">
        <f t="shared" si="0"/>
        <v>6.103</v>
      </c>
      <c r="P18" s="29">
        <f t="shared" si="0"/>
        <v>6.167</v>
      </c>
      <c r="Q18" s="29">
        <f t="shared" si="0"/>
        <v>6.224</v>
      </c>
    </row>
    <row r="19" ht="24" customHeight="1" spans="1:17">
      <c r="A19" s="30" t="s">
        <v>32</v>
      </c>
      <c r="B19" s="31">
        <f t="shared" ref="B19:Q19" si="1">IF(COUNT(B5:B16)=12,SQRT(MAX(0,(SUMSQ(B5:B16)-MAX(B5:B16)^2-MIN(B5:B16)^2-((SUM(B5:B16)-MAX(B5:B16)-MIN(B5:B16))^2/10))/9)),"")</f>
        <v>0.071995370221495</v>
      </c>
      <c r="C19" s="31">
        <f t="shared" si="1"/>
        <v>0.0618600571181115</v>
      </c>
      <c r="D19" s="31">
        <f t="shared" si="1"/>
        <v>0.0616531516722187</v>
      </c>
      <c r="E19" s="31">
        <f t="shared" si="1"/>
        <v>0.0622628835395982</v>
      </c>
      <c r="F19" s="31">
        <f t="shared" si="1"/>
        <v>0.0859974159818024</v>
      </c>
      <c r="G19" s="31">
        <f t="shared" si="1"/>
        <v>0.0462000481000756</v>
      </c>
      <c r="H19" s="31">
        <f t="shared" si="1"/>
        <v>0.0512510162500872</v>
      </c>
      <c r="I19" s="31">
        <f t="shared" si="1"/>
        <v>0.0439823196801017</v>
      </c>
      <c r="J19" s="31">
        <f t="shared" si="1"/>
        <v>0.0503873881927758</v>
      </c>
      <c r="K19" s="31">
        <f t="shared" si="1"/>
        <v>0.067995097862557</v>
      </c>
      <c r="L19" s="31">
        <f t="shared" si="1"/>
        <v>0.0453589388471624</v>
      </c>
      <c r="M19" s="31">
        <f t="shared" si="1"/>
        <v>0.0350238014309851</v>
      </c>
      <c r="N19" s="31">
        <f t="shared" si="1"/>
        <v>0.0316227766016095</v>
      </c>
      <c r="O19" s="31">
        <f t="shared" si="1"/>
        <v>0.041646661864336</v>
      </c>
      <c r="P19" s="31">
        <f t="shared" si="1"/>
        <v>0.0245175673981312</v>
      </c>
      <c r="Q19" s="31">
        <f t="shared" si="1"/>
        <v>0.0259058123038445</v>
      </c>
    </row>
  </sheetData>
  <autoFilter xmlns:etc="http://www.wps.cn/officeDocument/2017/etCustomData" ref="A4:Q16" etc:filterBottomFollowUsedRange="0">
    <extLst/>
  </autoFilter>
  <mergeCells count="2">
    <mergeCell ref="A1:Q1"/>
    <mergeCell ref="A2:Q2"/>
  </mergeCells>
  <dataValidations count="1">
    <dataValidation type="decimal" operator="between" allowBlank="1" errorTitle="Invalid reading" error="Enter a numeric Belter reading between 0 and 20 mm." promptTitle="Belter reading" prompt="Enter the Belter reading in mm." sqref="B5:Q16">
      <formula1>0</formula1>
      <formula2>20</formula2>
    </dataValidation>
  </dataValidation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Belter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wait and see</cp:lastModifiedBy>
  <dcterms:created xsi:type="dcterms:W3CDTF">2026-08-14T03:33:00Z</dcterms:created>
  <dcterms:modified xsi:type="dcterms:W3CDTF">2026-08-14T04:41:29Z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43BC237E40FB4DFB8B1D60E4B33E021E_13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